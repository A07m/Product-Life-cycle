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ssama\Downloads\"/>
    </mc:Choice>
  </mc:AlternateContent>
  <xr:revisionPtr revIDLastSave="0" documentId="8_{7C2AF777-9726-4F5A-83D2-89DD28430F13}" xr6:coauthVersionLast="47" xr6:coauthVersionMax="47" xr10:uidLastSave="{00000000-0000-0000-0000-000000000000}"/>
  <bookViews>
    <workbookView xWindow="-108" yWindow="-108" windowWidth="23256" windowHeight="13896" xr2:uid="{8EB8B737-AEA1-41F7-B927-041696BA42B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G4" i="2"/>
  <c r="G3" i="2"/>
  <c r="G2" i="2"/>
  <c r="H6" i="2"/>
  <c r="H7" i="2"/>
  <c r="H8" i="2"/>
  <c r="H9" i="2"/>
  <c r="H10" i="2"/>
  <c r="H11" i="2"/>
  <c r="H12" i="2"/>
  <c r="H13" i="2"/>
  <c r="H14" i="2"/>
  <c r="H15" i="2"/>
  <c r="H16" i="2"/>
  <c r="H5" i="2"/>
  <c r="G7" i="2"/>
  <c r="G16" i="2"/>
  <c r="G15" i="2"/>
  <c r="G14" i="2"/>
  <c r="G13" i="2"/>
  <c r="G12" i="2"/>
  <c r="G11" i="2"/>
  <c r="G10" i="2"/>
  <c r="G9" i="2"/>
  <c r="G8" i="2"/>
  <c r="G6" i="2"/>
  <c r="G5" i="2"/>
  <c r="P9" i="2"/>
  <c r="P14" i="2" s="1"/>
  <c r="P13" i="2" l="1"/>
  <c r="P16" i="2" s="1"/>
</calcChain>
</file>

<file path=xl/sharedStrings.xml><?xml version="1.0" encoding="utf-8"?>
<sst xmlns="http://schemas.openxmlformats.org/spreadsheetml/2006/main" count="25" uniqueCount="15">
  <si>
    <t>PLC Stage</t>
  </si>
  <si>
    <t>Development</t>
  </si>
  <si>
    <t>Introduction</t>
  </si>
  <si>
    <t>Growth</t>
  </si>
  <si>
    <t>Maturity</t>
  </si>
  <si>
    <t>Decline</t>
  </si>
  <si>
    <t>Date</t>
  </si>
  <si>
    <t>Quantity Sold</t>
  </si>
  <si>
    <t>Revenue ($)</t>
  </si>
  <si>
    <t>Variable Cost ($)</t>
  </si>
  <si>
    <t>Fixed Cost ($)</t>
  </si>
  <si>
    <t>Total Cost ($)</t>
  </si>
  <si>
    <t>Profit/Loss ($)</t>
  </si>
  <si>
    <t>Reinvestment Rate</t>
  </si>
  <si>
    <t>Break Even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</si>
</sst>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17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9" fontId="0" fillId="0" borderId="1" xfId="0" applyNumberForma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3BC78B7-03F9-4C79-A37C-4EC9A2D3E6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Break Even Point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43025791073103"/>
          <c:y val="9.9258343634116217E-2"/>
          <c:w val="0.68523537319671479"/>
          <c:h val="0.8054871540315804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Revenue ($)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Sheet1!$C$5:$C$16</c:f>
              <c:numCache>
                <c:formatCode>General</c:formatCode>
                <c:ptCount val="12"/>
                <c:pt idx="0">
                  <c:v>500</c:v>
                </c:pt>
                <c:pt idx="1">
                  <c:v>700</c:v>
                </c:pt>
                <c:pt idx="2">
                  <c:v>900</c:v>
                </c:pt>
                <c:pt idx="3" formatCode="#,##0">
                  <c:v>1200</c:v>
                </c:pt>
                <c:pt idx="4" formatCode="#,##0">
                  <c:v>1600</c:v>
                </c:pt>
                <c:pt idx="5" formatCode="#,##0">
                  <c:v>2000</c:v>
                </c:pt>
                <c:pt idx="6" formatCode="#,##0">
                  <c:v>2500</c:v>
                </c:pt>
                <c:pt idx="7" formatCode="#,##0">
                  <c:v>2700</c:v>
                </c:pt>
                <c:pt idx="8" formatCode="#,##0">
                  <c:v>2800</c:v>
                </c:pt>
                <c:pt idx="9" formatCode="#,##0">
                  <c:v>2400</c:v>
                </c:pt>
                <c:pt idx="10" formatCode="#,##0">
                  <c:v>1900</c:v>
                </c:pt>
                <c:pt idx="11" formatCode="#,##0">
                  <c:v>1400</c:v>
                </c:pt>
              </c:numCache>
            </c:numRef>
          </c:xVal>
          <c:yVal>
            <c:numRef>
              <c:f>Sheet1!$D$5:$D$16</c:f>
              <c:numCache>
                <c:formatCode>#,##0</c:formatCode>
                <c:ptCount val="12"/>
                <c:pt idx="0">
                  <c:v>50000</c:v>
                </c:pt>
                <c:pt idx="1">
                  <c:v>70000</c:v>
                </c:pt>
                <c:pt idx="2">
                  <c:v>90000</c:v>
                </c:pt>
                <c:pt idx="3">
                  <c:v>120000</c:v>
                </c:pt>
                <c:pt idx="4">
                  <c:v>160000</c:v>
                </c:pt>
                <c:pt idx="5">
                  <c:v>200000</c:v>
                </c:pt>
                <c:pt idx="6">
                  <c:v>250000</c:v>
                </c:pt>
                <c:pt idx="7">
                  <c:v>270000</c:v>
                </c:pt>
                <c:pt idx="8">
                  <c:v>280000</c:v>
                </c:pt>
                <c:pt idx="9">
                  <c:v>240000</c:v>
                </c:pt>
                <c:pt idx="10">
                  <c:v>190000</c:v>
                </c:pt>
                <c:pt idx="11">
                  <c:v>140000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C6-4712-87B9-6DEB65A7CA6A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Total Cost ($)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circle"/>
              <c:size val="7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0C6-4712-87B9-6DEB65A7CA6A}"/>
              </c:ext>
            </c:extLst>
          </c:dPt>
          <c:xVal>
            <c:numRef>
              <c:f>Sheet1!$C$5:$C$16</c:f>
              <c:numCache>
                <c:formatCode>General</c:formatCode>
                <c:ptCount val="12"/>
                <c:pt idx="0">
                  <c:v>500</c:v>
                </c:pt>
                <c:pt idx="1">
                  <c:v>700</c:v>
                </c:pt>
                <c:pt idx="2">
                  <c:v>900</c:v>
                </c:pt>
                <c:pt idx="3" formatCode="#,##0">
                  <c:v>1200</c:v>
                </c:pt>
                <c:pt idx="4" formatCode="#,##0">
                  <c:v>1600</c:v>
                </c:pt>
                <c:pt idx="5" formatCode="#,##0">
                  <c:v>2000</c:v>
                </c:pt>
                <c:pt idx="6" formatCode="#,##0">
                  <c:v>2500</c:v>
                </c:pt>
                <c:pt idx="7" formatCode="#,##0">
                  <c:v>2700</c:v>
                </c:pt>
                <c:pt idx="8" formatCode="#,##0">
                  <c:v>2800</c:v>
                </c:pt>
                <c:pt idx="9" formatCode="#,##0">
                  <c:v>2400</c:v>
                </c:pt>
                <c:pt idx="10" formatCode="#,##0">
                  <c:v>1900</c:v>
                </c:pt>
                <c:pt idx="11" formatCode="#,##0">
                  <c:v>1400</c:v>
                </c:pt>
              </c:numCache>
            </c:numRef>
          </c:xVal>
          <c:yVal>
            <c:numRef>
              <c:f>Sheet1!$G$5:$G$16</c:f>
              <c:numCache>
                <c:formatCode>#,##0</c:formatCode>
                <c:ptCount val="12"/>
                <c:pt idx="0">
                  <c:v>90000</c:v>
                </c:pt>
                <c:pt idx="1">
                  <c:v>98000</c:v>
                </c:pt>
                <c:pt idx="2">
                  <c:v>106000</c:v>
                </c:pt>
                <c:pt idx="3">
                  <c:v>118000</c:v>
                </c:pt>
                <c:pt idx="4">
                  <c:v>134000</c:v>
                </c:pt>
                <c:pt idx="5">
                  <c:v>150000</c:v>
                </c:pt>
                <c:pt idx="6">
                  <c:v>170000</c:v>
                </c:pt>
                <c:pt idx="7">
                  <c:v>178000</c:v>
                </c:pt>
                <c:pt idx="8">
                  <c:v>182000</c:v>
                </c:pt>
                <c:pt idx="9">
                  <c:v>166000</c:v>
                </c:pt>
                <c:pt idx="10">
                  <c:v>146000</c:v>
                </c:pt>
                <c:pt idx="11">
                  <c:v>126000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C6-4712-87B9-6DEB65A7C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911552"/>
        <c:axId val="1224910112"/>
      </c:scatterChart>
      <c:valAx>
        <c:axId val="122491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10112"/>
        <c:crosses val="autoZero"/>
        <c:crossBetween val="midCat"/>
      </c:valAx>
      <c:valAx>
        <c:axId val="1224910112"/>
        <c:scaling>
          <c:orientation val="minMax"/>
        </c:scaling>
        <c:delete val="0"/>
        <c:axPos val="l"/>
        <c:numFmt formatCode="#,##0,&quot;K&quot;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11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Life</a:t>
            </a:r>
            <a:r>
              <a:rPr lang="en-US" baseline="0"/>
              <a:t> Cycle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Revenue ($)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Sheet1!$A$2:$A$16</c:f>
              <c:numCache>
                <c:formatCode>mmm\-yy</c:formatCode>
                <c:ptCount val="15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  <c:pt idx="12">
                  <c:v>46296</c:v>
                </c:pt>
                <c:pt idx="13">
                  <c:v>46327</c:v>
                </c:pt>
                <c:pt idx="14">
                  <c:v>46357</c:v>
                </c:pt>
              </c:numCache>
            </c:numRef>
          </c:cat>
          <c:val>
            <c:numRef>
              <c:f>Sheet1!$D$2:$D$16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50000</c:v>
                </c:pt>
                <c:pt idx="4">
                  <c:v>70000</c:v>
                </c:pt>
                <c:pt idx="5">
                  <c:v>90000</c:v>
                </c:pt>
                <c:pt idx="6">
                  <c:v>120000</c:v>
                </c:pt>
                <c:pt idx="7">
                  <c:v>160000</c:v>
                </c:pt>
                <c:pt idx="8">
                  <c:v>200000</c:v>
                </c:pt>
                <c:pt idx="9">
                  <c:v>250000</c:v>
                </c:pt>
                <c:pt idx="10">
                  <c:v>270000</c:v>
                </c:pt>
                <c:pt idx="11">
                  <c:v>280000</c:v>
                </c:pt>
                <c:pt idx="12">
                  <c:v>240000</c:v>
                </c:pt>
                <c:pt idx="13">
                  <c:v>190000</c:v>
                </c:pt>
                <c:pt idx="14">
                  <c:v>140000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EC-4171-BA37-1682189D643D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Profit/Loss ($)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DDEC-4171-BA37-1682189D643D}"/>
              </c:ext>
            </c:extLst>
          </c:dPt>
          <c:cat>
            <c:numRef>
              <c:f>Sheet1!$A$2:$A$16</c:f>
              <c:numCache>
                <c:formatCode>mmm\-yy</c:formatCode>
                <c:ptCount val="15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  <c:pt idx="12">
                  <c:v>46296</c:v>
                </c:pt>
                <c:pt idx="13">
                  <c:v>46327</c:v>
                </c:pt>
                <c:pt idx="14">
                  <c:v>46357</c:v>
                </c:pt>
              </c:numCache>
            </c:numRef>
          </c:cat>
          <c:val>
            <c:numRef>
              <c:f>Sheet1!$H$2:$H$16</c:f>
              <c:numCache>
                <c:formatCode>#,##0</c:formatCode>
                <c:ptCount val="15"/>
                <c:pt idx="0">
                  <c:v>-70000</c:v>
                </c:pt>
                <c:pt idx="1">
                  <c:v>-70000</c:v>
                </c:pt>
                <c:pt idx="2">
                  <c:v>-70000</c:v>
                </c:pt>
                <c:pt idx="3">
                  <c:v>-40000</c:v>
                </c:pt>
                <c:pt idx="4">
                  <c:v>-28000</c:v>
                </c:pt>
                <c:pt idx="5">
                  <c:v>-16000</c:v>
                </c:pt>
                <c:pt idx="6">
                  <c:v>2000</c:v>
                </c:pt>
                <c:pt idx="7">
                  <c:v>26000</c:v>
                </c:pt>
                <c:pt idx="8">
                  <c:v>50000</c:v>
                </c:pt>
                <c:pt idx="9">
                  <c:v>80000</c:v>
                </c:pt>
                <c:pt idx="10">
                  <c:v>92000</c:v>
                </c:pt>
                <c:pt idx="11">
                  <c:v>98000</c:v>
                </c:pt>
                <c:pt idx="12">
                  <c:v>74000</c:v>
                </c:pt>
                <c:pt idx="13">
                  <c:v>44000</c:v>
                </c:pt>
                <c:pt idx="14">
                  <c:v>14000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EC-4171-BA37-1682189D6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234735"/>
        <c:axId val="199233775"/>
      </c:lineChart>
      <c:dateAx>
        <c:axId val="199234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33775"/>
        <c:crosses val="autoZero"/>
        <c:auto val="1"/>
        <c:lblOffset val="100"/>
        <c:baseTimeUnit val="months"/>
      </c:dateAx>
      <c:valAx>
        <c:axId val="199233775"/>
        <c:scaling>
          <c:orientation val="minMax"/>
        </c:scaling>
        <c:delete val="0"/>
        <c:axPos val="l"/>
        <c:numFmt formatCode="#,##0,&quot; 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3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</xdr:colOff>
      <xdr:row>18</xdr:row>
      <xdr:rowOff>49530</xdr:rowOff>
    </xdr:from>
    <xdr:to>
      <xdr:col>19</xdr:col>
      <xdr:colOff>457200</xdr:colOff>
      <xdr:row>35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2CC8A8-7ABF-1744-9AF4-AA5AC6CA3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</xdr:colOff>
      <xdr:row>0</xdr:row>
      <xdr:rowOff>0</xdr:rowOff>
    </xdr:from>
    <xdr:to>
      <xdr:col>21</xdr:col>
      <xdr:colOff>190500</xdr:colOff>
      <xdr:row>18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1D44A5-3276-C698-1A99-194C99165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0.37257</cdr:x>
      <cdr:y>0.27897</cdr:y>
    </cdr:from>
    <cdr:to>
      <cdr:x>0.73243</cdr:x>
      <cdr:y>0.50138</cdr:y>
    </cdr:to>
    <cdr:sp macro="" textlink="">
      <cdr:nvSpPr>
        <cdr:cNvPr id="4" name="Isosceles Triangle 3">
          <a:extLst xmlns:a="http://schemas.openxmlformats.org/drawingml/2006/main">
            <a:ext uri="{FF2B5EF4-FFF2-40B4-BE49-F238E27FC236}">
              <a16:creationId xmlns:a16="http://schemas.microsoft.com/office/drawing/2014/main" id="{BF38738E-86E9-5F8E-C188-120BF9A07255}"/>
            </a:ext>
          </a:extLst>
        </cdr:cNvPr>
        <cdr:cNvSpPr/>
      </cdr:nvSpPr>
      <cdr:spPr>
        <a:xfrm xmlns:a="http://schemas.openxmlformats.org/drawingml/2006/main" rot="15243489">
          <a:off x="2591649" y="247015"/>
          <a:ext cx="685524" cy="1911247"/>
        </a:xfrm>
        <a:prstGeom xmlns:a="http://schemas.openxmlformats.org/drawingml/2006/main" prst="triangle">
          <a:avLst>
            <a:gd name="adj" fmla="val 4115"/>
          </a:avLst>
        </a:prstGeom>
        <a:solidFill xmlns:a="http://schemas.openxmlformats.org/drawingml/2006/main">
          <a:schemeClr val="accent3">
            <a:lumMod val="40000"/>
            <a:lumOff val="60000"/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0.21587</cdr:x>
      <cdr:y>0.63251</cdr:y>
    </cdr:from>
    <cdr:to>
      <cdr:x>0.36284</cdr:x>
      <cdr:y>0.73267</cdr:y>
    </cdr:to>
    <cdr:sp macro="" textlink="">
      <cdr:nvSpPr>
        <cdr:cNvPr id="5" name="Isosceles Triangle 4">
          <a:extLst xmlns:a="http://schemas.openxmlformats.org/drawingml/2006/main">
            <a:ext uri="{FF2B5EF4-FFF2-40B4-BE49-F238E27FC236}">
              <a16:creationId xmlns:a16="http://schemas.microsoft.com/office/drawing/2014/main" id="{D509932B-E173-A895-42A5-9B31E4FD1F70}"/>
            </a:ext>
          </a:extLst>
        </cdr:cNvPr>
        <cdr:cNvSpPr/>
      </cdr:nvSpPr>
      <cdr:spPr>
        <a:xfrm xmlns:a="http://schemas.openxmlformats.org/drawingml/2006/main" rot="4518654">
          <a:off x="1382453" y="1713649"/>
          <a:ext cx="308721" cy="780578"/>
        </a:xfrm>
        <a:prstGeom xmlns:a="http://schemas.openxmlformats.org/drawingml/2006/main" prst="triangle">
          <a:avLst>
            <a:gd name="adj" fmla="val 3066"/>
          </a:avLst>
        </a:prstGeom>
        <a:solidFill xmlns:a="http://schemas.openxmlformats.org/drawingml/2006/main">
          <a:srgbClr val="FF0000">
            <a:alpha val="3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0.3802</cdr:x>
      <cdr:y>0.59951</cdr:y>
    </cdr:from>
    <cdr:to>
      <cdr:x>0.38164</cdr:x>
      <cdr:y>0.90853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25BC81E3-173C-6BEC-384F-B7F8C93A012C}"/>
            </a:ext>
          </a:extLst>
        </cdr:cNvPr>
        <cdr:cNvCxnSpPr/>
      </cdr:nvCxnSpPr>
      <cdr:spPr>
        <a:xfrm xmlns:a="http://schemas.openxmlformats.org/drawingml/2006/main" flipH="1">
          <a:off x="2019300" y="1847850"/>
          <a:ext cx="7620" cy="952500"/>
        </a:xfrm>
        <a:prstGeom xmlns:a="http://schemas.openxmlformats.org/drawingml/2006/main" prst="line">
          <a:avLst/>
        </a:prstGeom>
        <a:ln xmlns:a="http://schemas.openxmlformats.org/drawingml/2006/main"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0.1033</cdr:x>
      <cdr:y>0.58261</cdr:y>
    </cdr:from>
    <cdr:to>
      <cdr:x>0.37829</cdr:x>
      <cdr:y>0.58714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7474EEC4-D849-6DEE-685A-AC26C177812D}"/>
            </a:ext>
          </a:extLst>
        </cdr:cNvPr>
        <cdr:cNvCxnSpPr/>
      </cdr:nvCxnSpPr>
      <cdr:spPr>
        <a:xfrm xmlns:a="http://schemas.openxmlformats.org/drawingml/2006/main" flipV="1">
          <a:off x="548640" y="1795780"/>
          <a:ext cx="1460500" cy="13970"/>
        </a:xfrm>
        <a:prstGeom xmlns:a="http://schemas.openxmlformats.org/drawingml/2006/main" prst="line">
          <a:avLst/>
        </a:prstGeom>
        <a:ln xmlns:a="http://schemas.openxmlformats.org/drawingml/2006/main"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0.39024</cdr:x>
      <cdr:y>0.79481</cdr:y>
    </cdr:from>
    <cdr:to>
      <cdr:x>0.44333</cdr:x>
      <cdr:y>0.89617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A3D0CA64-2DD7-EE90-29B2-0B693182D1FB}"/>
            </a:ext>
          </a:extLst>
        </cdr:cNvPr>
        <cdr:cNvCxnSpPr/>
      </cdr:nvCxnSpPr>
      <cdr:spPr>
        <a:xfrm xmlns:a="http://schemas.openxmlformats.org/drawingml/2006/main" flipH="1">
          <a:off x="2072640" y="2449830"/>
          <a:ext cx="281940" cy="31242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C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0.43042</cdr:x>
      <cdr:y>0.74289</cdr:y>
    </cdr:from>
    <cdr:to>
      <cdr:x>0.59828</cdr:x>
      <cdr:y>0.80964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6B74F1EF-D3AF-EF46-4CF7-1105B20428C4}"/>
            </a:ext>
          </a:extLst>
        </cdr:cNvPr>
        <cdr:cNvSpPr txBox="1"/>
      </cdr:nvSpPr>
      <cdr:spPr>
        <a:xfrm xmlns:a="http://schemas.openxmlformats.org/drawingml/2006/main">
          <a:off x="2286000" y="2289810"/>
          <a:ext cx="891540" cy="205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chemeClr val="tx1"/>
              </a:solidFill>
            </a:rPr>
            <a:t>1167 Unit</a:t>
          </a:r>
        </a:p>
      </cdr:txBody>
    </cdr:sp>
  </cdr:relSizeAnchor>
  <cdr:relSizeAnchor xmlns:cdr="http://schemas.openxmlformats.org/drawingml/2006/chartDrawing">
    <cdr:from>
      <cdr:x>0.14921</cdr:x>
      <cdr:y>0.4145</cdr:y>
    </cdr:from>
    <cdr:to>
      <cdr:x>0.31707</cdr:x>
      <cdr:y>0.48125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BEB6DFF2-8802-4167-BA85-F382C63E94F0}"/>
            </a:ext>
          </a:extLst>
        </cdr:cNvPr>
        <cdr:cNvSpPr txBox="1"/>
      </cdr:nvSpPr>
      <cdr:spPr>
        <a:xfrm xmlns:a="http://schemas.openxmlformats.org/drawingml/2006/main">
          <a:off x="792480" y="1277620"/>
          <a:ext cx="891540" cy="205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solidFill>
                <a:schemeClr val="accent4">
                  <a:lumMod val="75000"/>
                </a:schemeClr>
              </a:solidFill>
            </a:rPr>
            <a:t>116,667</a:t>
          </a:r>
        </a:p>
      </cdr:txBody>
    </cdr:sp>
  </cdr:relSizeAnchor>
  <cdr:relSizeAnchor xmlns:cdr="http://schemas.openxmlformats.org/drawingml/2006/chartDrawing">
    <cdr:from>
      <cdr:x>0.10856</cdr:x>
      <cdr:y>0.48826</cdr:y>
    </cdr:from>
    <cdr:to>
      <cdr:x>0.18221</cdr:x>
      <cdr:y>0.5752</cdr:y>
    </cdr:to>
    <cdr:cxnSp macro="">
      <cdr:nvCxnSpPr>
        <cdr:cNvPr id="16" name="Straight Arrow Connector 15">
          <a:extLst xmlns:a="http://schemas.openxmlformats.org/drawingml/2006/main">
            <a:ext uri="{FF2B5EF4-FFF2-40B4-BE49-F238E27FC236}">
              <a16:creationId xmlns:a16="http://schemas.microsoft.com/office/drawing/2014/main" id="{918792D7-B8C8-90A8-ACB2-5ECF2EDFE36B}"/>
            </a:ext>
          </a:extLst>
        </cdr:cNvPr>
        <cdr:cNvCxnSpPr/>
      </cdr:nvCxnSpPr>
      <cdr:spPr>
        <a:xfrm xmlns:a="http://schemas.openxmlformats.org/drawingml/2006/main" flipH="1">
          <a:off x="576580" y="1504950"/>
          <a:ext cx="391160" cy="26797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0.26448</cdr:x>
      <cdr:y>0.13155</cdr:y>
    </cdr:from>
    <cdr:to>
      <cdr:x>0.26557</cdr:x>
      <cdr:y>0.85668</cdr:y>
    </cdr:to>
    <cdr:cxnSp macro="">
      <cdr:nvCxnSpPr>
        <cdr:cNvPr id="14" name="Straight Connector 13">
          <a:extLst xmlns:a="http://schemas.openxmlformats.org/drawingml/2006/main">
            <a:ext uri="{FF2B5EF4-FFF2-40B4-BE49-F238E27FC236}">
              <a16:creationId xmlns:a16="http://schemas.microsoft.com/office/drawing/2014/main" id="{49B79C03-3EB7-E67C-6EC8-339917A7F95D}"/>
            </a:ext>
          </a:extLst>
        </cdr:cNvPr>
        <cdr:cNvCxnSpPr/>
      </cdr:nvCxnSpPr>
      <cdr:spPr>
        <a:xfrm xmlns:a="http://schemas.openxmlformats.org/drawingml/2006/main" flipH="1">
          <a:off x="1844040" y="468630"/>
          <a:ext cx="7620" cy="258318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0.44117</cdr:x>
      <cdr:y>0.13191</cdr:y>
    </cdr:from>
    <cdr:to>
      <cdr:x>0.44226</cdr:x>
      <cdr:y>0.85704</cdr:y>
    </cdr:to>
    <cdr:cxnSp macro="">
      <cdr:nvCxnSpPr>
        <cdr:cNvPr id="16" name="Straight Connector 15">
          <a:extLst xmlns:a="http://schemas.openxmlformats.org/drawingml/2006/main">
            <a:ext uri="{FF2B5EF4-FFF2-40B4-BE49-F238E27FC236}">
              <a16:creationId xmlns:a16="http://schemas.microsoft.com/office/drawing/2014/main" id="{B92E34D4-19EC-892F-C016-C17BF0F624D9}"/>
            </a:ext>
          </a:extLst>
        </cdr:cNvPr>
        <cdr:cNvCxnSpPr/>
      </cdr:nvCxnSpPr>
      <cdr:spPr>
        <a:xfrm xmlns:a="http://schemas.openxmlformats.org/drawingml/2006/main" flipH="1">
          <a:off x="3075940" y="469900"/>
          <a:ext cx="7620" cy="258318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0.6204</cdr:x>
      <cdr:y>0.12977</cdr:y>
    </cdr:from>
    <cdr:to>
      <cdr:x>0.62149</cdr:x>
      <cdr:y>0.8549</cdr:y>
    </cdr:to>
    <cdr:cxnSp macro="">
      <cdr:nvCxnSpPr>
        <cdr:cNvPr id="17" name="Straight Connector 16">
          <a:extLst xmlns:a="http://schemas.openxmlformats.org/drawingml/2006/main">
            <a:ext uri="{FF2B5EF4-FFF2-40B4-BE49-F238E27FC236}">
              <a16:creationId xmlns:a16="http://schemas.microsoft.com/office/drawing/2014/main" id="{1889ADB0-E892-A138-8771-B91D9939212F}"/>
            </a:ext>
          </a:extLst>
        </cdr:cNvPr>
        <cdr:cNvCxnSpPr/>
      </cdr:nvCxnSpPr>
      <cdr:spPr>
        <a:xfrm xmlns:a="http://schemas.openxmlformats.org/drawingml/2006/main" flipH="1">
          <a:off x="4325620" y="462280"/>
          <a:ext cx="7620" cy="258318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0.79964</cdr:x>
      <cdr:y>0.12335</cdr:y>
    </cdr:from>
    <cdr:to>
      <cdr:x>0.80073</cdr:x>
      <cdr:y>0.84848</cdr:y>
    </cdr:to>
    <cdr:cxnSp macro="">
      <cdr:nvCxnSpPr>
        <cdr:cNvPr id="18" name="Straight Connector 17">
          <a:extLst xmlns:a="http://schemas.openxmlformats.org/drawingml/2006/main">
            <a:ext uri="{FF2B5EF4-FFF2-40B4-BE49-F238E27FC236}">
              <a16:creationId xmlns:a16="http://schemas.microsoft.com/office/drawing/2014/main" id="{93775C5C-AC80-E119-9016-15FB1589C2B7}"/>
            </a:ext>
          </a:extLst>
        </cdr:cNvPr>
        <cdr:cNvCxnSpPr/>
      </cdr:nvCxnSpPr>
      <cdr:spPr>
        <a:xfrm xmlns:a="http://schemas.openxmlformats.org/drawingml/2006/main" flipH="1">
          <a:off x="5575300" y="439420"/>
          <a:ext cx="7620" cy="2583180"/>
        </a:xfrm>
        <a:prstGeom xmlns:a="http://schemas.openxmlformats.org/drawingml/2006/main" prst="line">
          <a:avLst/>
        </a:prstGeom>
        <a:ln xmlns:a="http://schemas.openxmlformats.org/drawingml/2006/main">
          <a:prstDash val="dash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0.13005</cdr:x>
      <cdr:y>0.17488</cdr:y>
    </cdr:from>
    <cdr:to>
      <cdr:x>0.29727</cdr:x>
      <cdr:y>0.23671</cdr:y>
    </cdr:to>
    <cdr:sp macro="" textlink="">
      <cdr:nvSpPr>
        <cdr:cNvPr id="19" name="TextBox 18">
          <a:extLst xmlns:a="http://schemas.openxmlformats.org/drawingml/2006/main">
            <a:ext uri="{FF2B5EF4-FFF2-40B4-BE49-F238E27FC236}">
              <a16:creationId xmlns:a16="http://schemas.microsoft.com/office/drawing/2014/main" id="{DDC23356-8276-D131-F6EA-4545248466EE}"/>
            </a:ext>
          </a:extLst>
        </cdr:cNvPr>
        <cdr:cNvSpPr txBox="1"/>
      </cdr:nvSpPr>
      <cdr:spPr>
        <a:xfrm xmlns:a="http://schemas.openxmlformats.org/drawingml/2006/main">
          <a:off x="906780" y="689610"/>
          <a:ext cx="1165860" cy="243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marL="0" indent="0"/>
          <a:r>
            <a:rPr lang="en-US" sz="1100">
              <a:solidFill>
                <a:schemeClr val="accent1"/>
              </a:solidFill>
              <a:latin typeface="+mn-lt"/>
              <a:ea typeface="+mn-ea"/>
              <a:cs typeface="+mn-cs"/>
            </a:rPr>
            <a:t>R&amp;D</a:t>
          </a:r>
        </a:p>
      </cdr:txBody>
    </cdr:sp>
  </cdr:relSizeAnchor>
  <cdr:relSizeAnchor xmlns:cdr="http://schemas.openxmlformats.org/drawingml/2006/chartDrawing">
    <cdr:from>
      <cdr:x>0.30018</cdr:x>
      <cdr:y>0.17713</cdr:y>
    </cdr:from>
    <cdr:to>
      <cdr:x>0.4674</cdr:x>
      <cdr:y>0.23897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E1C7F5A5-1B7E-0AE5-BAF0-6792A7110B51}"/>
            </a:ext>
          </a:extLst>
        </cdr:cNvPr>
        <cdr:cNvSpPr txBox="1"/>
      </cdr:nvSpPr>
      <cdr:spPr>
        <a:xfrm xmlns:a="http://schemas.openxmlformats.org/drawingml/2006/main">
          <a:off x="2092960" y="698500"/>
          <a:ext cx="1165860" cy="243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/>
          <a:r>
            <a:rPr lang="en-US" sz="1100">
              <a:solidFill>
                <a:schemeClr val="accent1"/>
              </a:solidFill>
              <a:latin typeface="+mn-lt"/>
              <a:ea typeface="+mn-ea"/>
              <a:cs typeface="+mn-cs"/>
            </a:rPr>
            <a:t>Introduction</a:t>
          </a:r>
        </a:p>
      </cdr:txBody>
    </cdr:sp>
  </cdr:relSizeAnchor>
  <cdr:relSizeAnchor xmlns:cdr="http://schemas.openxmlformats.org/drawingml/2006/chartDrawing">
    <cdr:from>
      <cdr:x>0.47177</cdr:x>
      <cdr:y>0.17907</cdr:y>
    </cdr:from>
    <cdr:to>
      <cdr:x>0.63898</cdr:x>
      <cdr:y>0.2409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D8EEA445-43B0-9FDF-43E1-D9E740832663}"/>
            </a:ext>
          </a:extLst>
        </cdr:cNvPr>
        <cdr:cNvSpPr txBox="1"/>
      </cdr:nvSpPr>
      <cdr:spPr>
        <a:xfrm xmlns:a="http://schemas.openxmlformats.org/drawingml/2006/main">
          <a:off x="3289300" y="706120"/>
          <a:ext cx="1165860" cy="243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/>
          <a:r>
            <a:rPr lang="en-US" sz="1100">
              <a:solidFill>
                <a:schemeClr val="accent1"/>
              </a:solidFill>
              <a:latin typeface="+mn-lt"/>
              <a:ea typeface="+mn-ea"/>
              <a:cs typeface="+mn-cs"/>
            </a:rPr>
            <a:t>Growth</a:t>
          </a:r>
        </a:p>
      </cdr:txBody>
    </cdr:sp>
  </cdr:relSizeAnchor>
  <cdr:relSizeAnchor xmlns:cdr="http://schemas.openxmlformats.org/drawingml/2006/chartDrawing">
    <cdr:from>
      <cdr:x>0.65428</cdr:x>
      <cdr:y>0.07665</cdr:y>
    </cdr:from>
    <cdr:to>
      <cdr:x>0.82149</cdr:x>
      <cdr:y>0.13849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D8EEA445-43B0-9FDF-43E1-D9E740832663}"/>
            </a:ext>
          </a:extLst>
        </cdr:cNvPr>
        <cdr:cNvSpPr txBox="1"/>
      </cdr:nvSpPr>
      <cdr:spPr>
        <a:xfrm xmlns:a="http://schemas.openxmlformats.org/drawingml/2006/main">
          <a:off x="4561840" y="302260"/>
          <a:ext cx="1165860" cy="243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accent1"/>
              </a:solidFill>
            </a:rPr>
            <a:t>Maturity</a:t>
          </a:r>
        </a:p>
      </cdr:txBody>
    </cdr:sp>
  </cdr:relSizeAnchor>
  <cdr:relSizeAnchor xmlns:cdr="http://schemas.openxmlformats.org/drawingml/2006/chartDrawing">
    <cdr:from>
      <cdr:x>0.8776</cdr:x>
      <cdr:y>0.24283</cdr:y>
    </cdr:from>
    <cdr:to>
      <cdr:x>0.99891</cdr:x>
      <cdr:y>0.30435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D8EEA445-43B0-9FDF-43E1-D9E740832663}"/>
            </a:ext>
          </a:extLst>
        </cdr:cNvPr>
        <cdr:cNvSpPr txBox="1"/>
      </cdr:nvSpPr>
      <cdr:spPr>
        <a:xfrm xmlns:a="http://schemas.openxmlformats.org/drawingml/2006/main">
          <a:off x="6118860" y="957580"/>
          <a:ext cx="845820" cy="2425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i="1">
              <a:solidFill>
                <a:srgbClr val="FF0000"/>
              </a:solidFill>
            </a:rPr>
            <a:t>Decline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03A8-D2D7-4AA5-B517-AF3E72F51DF2}">
  <dimension ref="A1:P16"/>
  <sheetViews>
    <sheetView tabSelected="1" workbookViewId="0">
      <selection activeCell="E22" sqref="E22"/>
    </sheetView>
  </sheetViews>
  <sheetFormatPr defaultRowHeight="14.4" x14ac:dyDescent="0.3"/>
  <cols>
    <col min="1" max="1" width="6.88671875" bestFit="1" customWidth="1"/>
    <col min="2" max="2" width="26" customWidth="1"/>
    <col min="3" max="3" width="12.6640625" customWidth="1"/>
    <col min="4" max="4" width="13.44140625" customWidth="1"/>
    <col min="5" max="5" width="17.5546875" customWidth="1"/>
    <col min="6" max="6" width="13.6640625" customWidth="1"/>
    <col min="7" max="7" width="15.44140625" customWidth="1"/>
    <col min="8" max="8" width="14.6640625" customWidth="1"/>
    <col min="9" max="9" width="17.6640625" customWidth="1"/>
  </cols>
  <sheetData>
    <row r="1" spans="1:16" ht="43.2" x14ac:dyDescent="0.3">
      <c r="A1" s="8" t="s">
        <v>6</v>
      </c>
      <c r="B1" s="8" t="s">
        <v>0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9" t="s">
        <v>13</v>
      </c>
    </row>
    <row r="2" spans="1:16" ht="16.8" customHeight="1" x14ac:dyDescent="0.3">
      <c r="A2" s="2">
        <v>45931</v>
      </c>
      <c r="B2" s="3" t="s">
        <v>1</v>
      </c>
      <c r="C2" s="4">
        <v>0</v>
      </c>
      <c r="D2" s="5">
        <v>0</v>
      </c>
      <c r="E2" s="5">
        <v>0</v>
      </c>
      <c r="F2" s="5">
        <v>70000</v>
      </c>
      <c r="G2" s="5">
        <f>E2+F2</f>
        <v>70000</v>
      </c>
      <c r="H2" s="6">
        <f>D2-E2-F2</f>
        <v>-70000</v>
      </c>
      <c r="I2" s="7">
        <v>0.9</v>
      </c>
    </row>
    <row r="3" spans="1:16" ht="21" customHeight="1" x14ac:dyDescent="0.3">
      <c r="A3" s="2">
        <v>45962</v>
      </c>
      <c r="B3" s="3" t="s">
        <v>1</v>
      </c>
      <c r="C3" s="4">
        <v>0</v>
      </c>
      <c r="D3" s="5">
        <v>0</v>
      </c>
      <c r="E3" s="5">
        <v>0</v>
      </c>
      <c r="F3" s="5">
        <v>70000</v>
      </c>
      <c r="G3" s="5">
        <f>E3+F3</f>
        <v>70000</v>
      </c>
      <c r="H3" s="6">
        <f>D3-E3-F3</f>
        <v>-70000</v>
      </c>
      <c r="I3" s="7">
        <v>0.9</v>
      </c>
    </row>
    <row r="4" spans="1:16" ht="15.6" customHeight="1" x14ac:dyDescent="0.3">
      <c r="A4" s="2">
        <v>45992</v>
      </c>
      <c r="B4" s="3" t="s">
        <v>1</v>
      </c>
      <c r="C4" s="4">
        <v>0</v>
      </c>
      <c r="D4" s="5">
        <v>0</v>
      </c>
      <c r="E4" s="5">
        <v>0</v>
      </c>
      <c r="F4" s="5">
        <v>70000</v>
      </c>
      <c r="G4" s="5">
        <f>E4+F4</f>
        <v>70000</v>
      </c>
      <c r="H4" s="6">
        <f>D4-E4-F4</f>
        <v>-70000</v>
      </c>
      <c r="I4" s="7">
        <v>0.9</v>
      </c>
    </row>
    <row r="5" spans="1:16" ht="16.8" customHeight="1" x14ac:dyDescent="0.3">
      <c r="A5" s="2">
        <v>46023</v>
      </c>
      <c r="B5" s="3" t="s">
        <v>2</v>
      </c>
      <c r="C5" s="4">
        <v>500</v>
      </c>
      <c r="D5" s="5">
        <v>50000</v>
      </c>
      <c r="E5" s="5">
        <v>20000</v>
      </c>
      <c r="F5" s="5">
        <v>70000</v>
      </c>
      <c r="G5" s="5">
        <f>E5+F5</f>
        <v>90000</v>
      </c>
      <c r="H5" s="6">
        <f>D5-E5-F5</f>
        <v>-40000</v>
      </c>
      <c r="I5" s="7">
        <v>0.8</v>
      </c>
    </row>
    <row r="6" spans="1:16" ht="21" customHeight="1" x14ac:dyDescent="0.3">
      <c r="A6" s="2">
        <v>46054</v>
      </c>
      <c r="B6" s="3" t="s">
        <v>2</v>
      </c>
      <c r="C6" s="4">
        <v>700</v>
      </c>
      <c r="D6" s="5">
        <v>70000</v>
      </c>
      <c r="E6" s="5">
        <v>28000</v>
      </c>
      <c r="F6" s="5">
        <v>70000</v>
      </c>
      <c r="G6" s="5">
        <f t="shared" ref="G6:G16" si="0">E6+F6</f>
        <v>98000</v>
      </c>
      <c r="H6" s="6">
        <f t="shared" ref="H6:H16" si="1">D6-E6-F6</f>
        <v>-28000</v>
      </c>
      <c r="I6" s="7">
        <v>0.8</v>
      </c>
    </row>
    <row r="7" spans="1:16" ht="15.6" customHeight="1" x14ac:dyDescent="0.3">
      <c r="A7" s="2">
        <v>46082</v>
      </c>
      <c r="B7" s="3" t="s">
        <v>2</v>
      </c>
      <c r="C7" s="4">
        <v>900</v>
      </c>
      <c r="D7" s="5">
        <v>90000</v>
      </c>
      <c r="E7" s="5">
        <v>36000</v>
      </c>
      <c r="F7" s="5">
        <v>70000</v>
      </c>
      <c r="G7" s="5">
        <f>E7+F7</f>
        <v>106000</v>
      </c>
      <c r="H7" s="6">
        <f t="shared" si="1"/>
        <v>-16000</v>
      </c>
      <c r="I7" s="7">
        <v>0.75</v>
      </c>
    </row>
    <row r="8" spans="1:16" x14ac:dyDescent="0.3">
      <c r="A8" s="2">
        <v>46113</v>
      </c>
      <c r="B8" s="3" t="s">
        <v>3</v>
      </c>
      <c r="C8" s="5">
        <v>1200</v>
      </c>
      <c r="D8" s="5">
        <v>120000</v>
      </c>
      <c r="E8" s="5">
        <v>48000</v>
      </c>
      <c r="F8" s="5">
        <v>70000</v>
      </c>
      <c r="G8" s="5">
        <f t="shared" si="0"/>
        <v>118000</v>
      </c>
      <c r="H8" s="6">
        <f t="shared" si="1"/>
        <v>2000</v>
      </c>
      <c r="I8" s="7">
        <v>0.7</v>
      </c>
    </row>
    <row r="9" spans="1:16" x14ac:dyDescent="0.3">
      <c r="A9" s="2">
        <v>46143</v>
      </c>
      <c r="B9" s="3" t="s">
        <v>3</v>
      </c>
      <c r="C9" s="5">
        <v>1600</v>
      </c>
      <c r="D9" s="5">
        <v>160000</v>
      </c>
      <c r="E9" s="5">
        <v>64000</v>
      </c>
      <c r="F9" s="5">
        <v>70000</v>
      </c>
      <c r="G9" s="5">
        <f t="shared" si="0"/>
        <v>134000</v>
      </c>
      <c r="H9" s="6">
        <f t="shared" si="1"/>
        <v>26000</v>
      </c>
      <c r="I9" s="7">
        <v>0.65</v>
      </c>
      <c r="N9" t="s">
        <v>14</v>
      </c>
      <c r="P9">
        <f>SUM(F5)/((D5/C5)-(E5/C5))</f>
        <v>1166.6666666666667</v>
      </c>
    </row>
    <row r="10" spans="1:16" x14ac:dyDescent="0.3">
      <c r="A10" s="2">
        <v>46174</v>
      </c>
      <c r="B10" s="3" t="s">
        <v>3</v>
      </c>
      <c r="C10" s="5">
        <v>2000</v>
      </c>
      <c r="D10" s="5">
        <v>200000</v>
      </c>
      <c r="E10" s="5">
        <v>80000</v>
      </c>
      <c r="F10" s="5">
        <v>70000</v>
      </c>
      <c r="G10" s="5">
        <f t="shared" si="0"/>
        <v>150000</v>
      </c>
      <c r="H10" s="6">
        <f t="shared" si="1"/>
        <v>50000</v>
      </c>
      <c r="I10" s="7">
        <v>0.6</v>
      </c>
    </row>
    <row r="11" spans="1:16" x14ac:dyDescent="0.3">
      <c r="A11" s="2">
        <v>46204</v>
      </c>
      <c r="B11" s="3" t="s">
        <v>4</v>
      </c>
      <c r="C11" s="5">
        <v>2500</v>
      </c>
      <c r="D11" s="5">
        <v>250000</v>
      </c>
      <c r="E11" s="5">
        <v>100000</v>
      </c>
      <c r="F11" s="5">
        <v>70000</v>
      </c>
      <c r="G11" s="5">
        <f t="shared" si="0"/>
        <v>170000</v>
      </c>
      <c r="H11" s="6">
        <f t="shared" si="1"/>
        <v>80000</v>
      </c>
      <c r="I11" s="7">
        <v>0.45</v>
      </c>
    </row>
    <row r="12" spans="1:16" x14ac:dyDescent="0.3">
      <c r="A12" s="2">
        <v>46235</v>
      </c>
      <c r="B12" s="3" t="s">
        <v>4</v>
      </c>
      <c r="C12" s="5">
        <v>2700</v>
      </c>
      <c r="D12" s="5">
        <v>270000</v>
      </c>
      <c r="E12" s="5">
        <v>108000</v>
      </c>
      <c r="F12" s="5">
        <v>70000</v>
      </c>
      <c r="G12" s="5">
        <f t="shared" si="0"/>
        <v>178000</v>
      </c>
      <c r="H12" s="6">
        <f t="shared" si="1"/>
        <v>92000</v>
      </c>
      <c r="I12" s="7">
        <v>0.4</v>
      </c>
    </row>
    <row r="13" spans="1:16" x14ac:dyDescent="0.3">
      <c r="A13" s="2">
        <v>46266</v>
      </c>
      <c r="B13" s="3" t="s">
        <v>4</v>
      </c>
      <c r="C13" s="5">
        <v>2800</v>
      </c>
      <c r="D13" s="5">
        <v>280000</v>
      </c>
      <c r="E13" s="5">
        <v>112000</v>
      </c>
      <c r="F13" s="5">
        <v>70000</v>
      </c>
      <c r="G13" s="5">
        <f t="shared" si="0"/>
        <v>182000</v>
      </c>
      <c r="H13" s="6">
        <f t="shared" si="1"/>
        <v>98000</v>
      </c>
      <c r="I13" s="7">
        <v>0.4</v>
      </c>
      <c r="P13">
        <f>P9*100</f>
        <v>116666.66666666667</v>
      </c>
    </row>
    <row r="14" spans="1:16" x14ac:dyDescent="0.3">
      <c r="A14" s="2">
        <v>46296</v>
      </c>
      <c r="B14" s="3" t="s">
        <v>5</v>
      </c>
      <c r="C14" s="5">
        <v>2400</v>
      </c>
      <c r="D14" s="5">
        <v>240000</v>
      </c>
      <c r="E14" s="5">
        <v>96000</v>
      </c>
      <c r="F14" s="5">
        <v>70000</v>
      </c>
      <c r="G14" s="5">
        <f t="shared" si="0"/>
        <v>166000</v>
      </c>
      <c r="H14" s="6">
        <f t="shared" si="1"/>
        <v>74000</v>
      </c>
      <c r="I14" s="7">
        <v>0.25</v>
      </c>
      <c r="P14">
        <f>P9*40</f>
        <v>46666.666666666672</v>
      </c>
    </row>
    <row r="15" spans="1:16" x14ac:dyDescent="0.3">
      <c r="A15" s="2">
        <v>46327</v>
      </c>
      <c r="B15" s="3" t="s">
        <v>5</v>
      </c>
      <c r="C15" s="5">
        <v>1900</v>
      </c>
      <c r="D15" s="5">
        <v>190000</v>
      </c>
      <c r="E15" s="5">
        <v>76000</v>
      </c>
      <c r="F15" s="5">
        <v>70000</v>
      </c>
      <c r="G15" s="5">
        <f t="shared" si="0"/>
        <v>146000</v>
      </c>
      <c r="H15" s="6">
        <f t="shared" si="1"/>
        <v>44000</v>
      </c>
      <c r="I15" s="7">
        <v>0.15</v>
      </c>
      <c r="P15" s="1">
        <v>70000</v>
      </c>
    </row>
    <row r="16" spans="1:16" x14ac:dyDescent="0.3">
      <c r="A16" s="2">
        <v>46357</v>
      </c>
      <c r="B16" s="3" t="s">
        <v>5</v>
      </c>
      <c r="C16" s="5">
        <v>1400</v>
      </c>
      <c r="D16" s="5">
        <v>140000</v>
      </c>
      <c r="E16" s="5">
        <v>56000</v>
      </c>
      <c r="F16" s="5">
        <v>70000</v>
      </c>
      <c r="G16" s="5">
        <f t="shared" si="0"/>
        <v>126000</v>
      </c>
      <c r="H16" s="6">
        <f t="shared" si="1"/>
        <v>14000</v>
      </c>
      <c r="I16" s="7">
        <v>0.1</v>
      </c>
      <c r="P16" s="1">
        <f>P13-P14-P15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Essam Amin</dc:creator>
  <cp:lastModifiedBy>Ahmed Essam Amin</cp:lastModifiedBy>
  <dcterms:created xsi:type="dcterms:W3CDTF">2026-09-23T08:37:27Z</dcterms:created>
  <dcterms:modified xsi:type="dcterms:W3CDTF">2026-09-23T11:17:37Z</dcterms:modified>
</cp:coreProperties>
</file>